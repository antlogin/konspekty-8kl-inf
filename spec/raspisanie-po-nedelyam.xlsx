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 неделям" sheetId="1" state="visible" r:id="rId3"/>
    <sheet name="Конспект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<sst xmlns="http://schemas.openxmlformats.org/spreadsheetml/2006/main" count="232" uniqueCount="132">
  <si>
    <t xml:space="preserve">№ нед.</t>
  </si>
  <si>
    <t xml:space="preserve">Неделя</t>
  </si>
  <si>
    <t xml:space="preserve">Тема недели (конспект)</t>
  </si>
  <si>
    <t xml:space="preserve">Компас, ср: дата</t>
  </si>
  <si>
    <t xml:space="preserve">Ср: урок №</t>
  </si>
  <si>
    <t xml:space="preserve">Ср: что</t>
  </si>
  <si>
    <t xml:space="preserve">Компас, пт: дата</t>
  </si>
  <si>
    <t xml:space="preserve">Пт: урок №</t>
  </si>
  <si>
    <t xml:space="preserve">Пт: что</t>
  </si>
  <si>
    <t xml:space="preserve">ФШ онлайн, пн: дата</t>
  </si>
  <si>
    <t xml:space="preserve">Пн: урок №</t>
  </si>
  <si>
    <t xml:space="preserve">Пн: что</t>
  </si>
  <si>
    <t xml:space="preserve">19.10–25.10</t>
  </si>
  <si>
    <t xml:space="preserve">К1. Алгоритмы и исполнители. Свойства алгоритмов</t>
  </si>
  <si>
    <t xml:space="preserve">К1</t>
  </si>
  <si>
    <t xml:space="preserve">26.10–01.11</t>
  </si>
  <si>
    <t xml:space="preserve">К2. Способы записи алгоритмов. Блок-схемы. Среда Python</t>
  </si>
  <si>
    <t xml:space="preserve">К2</t>
  </si>
  <si>
    <t xml:space="preserve">02.11–08.11</t>
  </si>
  <si>
    <t xml:space="preserve">(у Компаса нет урока)</t>
  </si>
  <si>
    <t xml:space="preserve">—</t>
  </si>
  <si>
    <t xml:space="preserve">Практикум</t>
  </si>
  <si>
    <t xml:space="preserve">09.11–15.11</t>
  </si>
  <si>
    <t xml:space="preserve">К3. Исполнитель «Черепаха» (turtle). Линейный алгоритм</t>
  </si>
  <si>
    <t xml:space="preserve">К3</t>
  </si>
  <si>
    <t xml:space="preserve">16.11–22.11</t>
  </si>
  <si>
    <t xml:space="preserve">Пром. аттестация 1</t>
  </si>
  <si>
    <t xml:space="preserve">23.11–29.11</t>
  </si>
  <si>
    <t xml:space="preserve">Пром. аттестация 2</t>
  </si>
  <si>
    <t xml:space="preserve">30.11–06.12</t>
  </si>
  <si>
    <t xml:space="preserve">Пром. аттестация 3</t>
  </si>
  <si>
    <t xml:space="preserve">К4</t>
  </si>
  <si>
    <t xml:space="preserve">07.12–13.12</t>
  </si>
  <si>
    <t xml:space="preserve">К4. Величины и присваивание. Переменные</t>
  </si>
  <si>
    <t xml:space="preserve">К5</t>
  </si>
  <si>
    <t xml:space="preserve">14.12–20.12</t>
  </si>
  <si>
    <t xml:space="preserve">К5. Ввод и вывод данных. Типы данных</t>
  </si>
  <si>
    <t xml:space="preserve">К6</t>
  </si>
  <si>
    <t xml:space="preserve">21.12–27.12</t>
  </si>
  <si>
    <t xml:space="preserve">К6. Линейные программы. Арифметические операции</t>
  </si>
  <si>
    <t xml:space="preserve">28.12–03.01</t>
  </si>
  <si>
    <t xml:space="preserve">04.01–10.01</t>
  </si>
  <si>
    <t xml:space="preserve">Каникулы у всех</t>
  </si>
  <si>
    <t xml:space="preserve">11.01–17.01</t>
  </si>
  <si>
    <t xml:space="preserve">К7. Целочисленное деление // и %. Практикум</t>
  </si>
  <si>
    <t xml:space="preserve">К7</t>
  </si>
  <si>
    <t xml:space="preserve">18.01–24.01</t>
  </si>
  <si>
    <t xml:space="preserve">К8. Ветвление. Полная форма: if / else</t>
  </si>
  <si>
    <t xml:space="preserve">К8</t>
  </si>
  <si>
    <t xml:space="preserve">25.01–31.01</t>
  </si>
  <si>
    <t xml:space="preserve">К9. Логика 1. Высказывания. Операции НЕ, И, ИЛИ</t>
  </si>
  <si>
    <t xml:space="preserve">К9</t>
  </si>
  <si>
    <t xml:space="preserve">01.02–07.02</t>
  </si>
  <si>
    <t xml:space="preserve">К10. Логика 2. Логические выражения. Приоритет операций</t>
  </si>
  <si>
    <t xml:space="preserve">К10</t>
  </si>
  <si>
    <t xml:space="preserve">08.02–14.02</t>
  </si>
  <si>
    <t xml:space="preserve">К11. Логика 3. Таблицы истинности. Логические элементы</t>
  </si>
  <si>
    <t xml:space="preserve">К11</t>
  </si>
  <si>
    <t xml:space="preserve">15.02–21.02</t>
  </si>
  <si>
    <t xml:space="preserve">К12. Неполное ветвление. Сложные условия: and, or, not</t>
  </si>
  <si>
    <t xml:space="preserve">К12</t>
  </si>
  <si>
    <t xml:space="preserve">22.02–28.02</t>
  </si>
  <si>
    <t xml:space="preserve">К13. Выбор из нескольких вариантов: elif</t>
  </si>
  <si>
    <t xml:space="preserve">К13</t>
  </si>
  <si>
    <t xml:space="preserve">01.03–07.03</t>
  </si>
  <si>
    <t xml:space="preserve">08.03–14.03</t>
  </si>
  <si>
    <t xml:space="preserve">К14. Практикум + проверочная работа по ветвлениям</t>
  </si>
  <si>
    <t xml:space="preserve">К14</t>
  </si>
  <si>
    <t xml:space="preserve">15.03–21.03</t>
  </si>
  <si>
    <t xml:space="preserve">К15. Цикл с заданным числом повторений и с переменной: for, range</t>
  </si>
  <si>
    <t xml:space="preserve">К15</t>
  </si>
  <si>
    <t xml:space="preserve">22.03–28.03</t>
  </si>
  <si>
    <t xml:space="preserve">К16. Сумма и счётчик в цикле</t>
  </si>
  <si>
    <t xml:space="preserve">К16</t>
  </si>
  <si>
    <t xml:space="preserve">29.03–04.04</t>
  </si>
  <si>
    <t xml:space="preserve">К17. Цикл с условием продолжения: while</t>
  </si>
  <si>
    <t xml:space="preserve">К17</t>
  </si>
  <si>
    <t xml:space="preserve">05.04–11.04</t>
  </si>
  <si>
    <t xml:space="preserve">К18. Цикл с условием окончания: while True + break</t>
  </si>
  <si>
    <t xml:space="preserve">К18</t>
  </si>
  <si>
    <t xml:space="preserve">12.04–18.04</t>
  </si>
  <si>
    <t xml:space="preserve">Год. аттестация 1</t>
  </si>
  <si>
    <t xml:space="preserve">19.04–25.04</t>
  </si>
  <si>
    <t xml:space="preserve">Год. аттестация 2</t>
  </si>
  <si>
    <t xml:space="preserve">26.04–02.05</t>
  </si>
  <si>
    <t xml:space="preserve">Год. аттестация 3</t>
  </si>
  <si>
    <t xml:space="preserve">К19</t>
  </si>
  <si>
    <t xml:space="preserve">03.05–09.05</t>
  </si>
  <si>
    <t xml:space="preserve">К19. Цикл + ветвление. Задачи в формате ОГЭ</t>
  </si>
  <si>
    <t xml:space="preserve">10.05–16.05</t>
  </si>
  <si>
    <t xml:space="preserve">К20. Итоговая работа</t>
  </si>
  <si>
    <t xml:space="preserve">К20</t>
  </si>
  <si>
    <t xml:space="preserve">17.05–23.05</t>
  </si>
  <si>
    <t xml:space="preserve">Обобщение курса</t>
  </si>
  <si>
    <t xml:space="preserve">24.05–30.05</t>
  </si>
  <si>
    <t xml:space="preserve">Резерв</t>
  </si>
  <si>
    <t xml:space="preserve">31.05–06.06</t>
  </si>
  <si>
    <t xml:space="preserve">Обозначения:</t>
  </si>
  <si>
    <t xml:space="preserve">Серым — у группы нет урока на этой неделе (каникулы / неучебный день).</t>
  </si>
  <si>
    <t xml:space="preserve">Жёлтым — группа проходит другую тему, чем среда на этой неделе (опережает или отстаёт на 1 тему); конспект тот же, из общего комплекта.</t>
  </si>
  <si>
    <t xml:space="preserve">Зелёным — у группы на этой неделе практикум/резерв вместо темы среды или аттестации.</t>
  </si>
  <si>
    <t xml:space="preserve">К1–К20 — номера конспектов; названия на листе «Конспекты».</t>
  </si>
  <si>
    <t xml:space="preserve">Номера уроков по журналу: Компас — продолжение с урока 7 (6 уже проведено), ФШ — с урока 6 (предположение: 5 уроков проведено, первый урок 07.09).</t>
  </si>
  <si>
    <t xml:space="preserve">Даты каникул — из «Единого календарного плана Компас и Филипповская школа 2026/27».</t>
  </si>
  <si>
    <t xml:space="preserve">Пятница пропускает только К3 (черепаха): введение в turtle даётся 5-минутной вставкой на уроке К15. Запасной вариант при потере урока: слить К6+К7, К10+К11, К20 совместить с годовой аттестацией.</t>
  </si>
  <si>
    <t xml:space="preserve">№</t>
  </si>
  <si>
    <t xml:space="preserve">Тема</t>
  </si>
  <si>
    <t xml:space="preserve">Компас, ср</t>
  </si>
  <si>
    <t xml:space="preserve">Компас, пт</t>
  </si>
  <si>
    <t xml:space="preserve">ФШ, пн</t>
  </si>
  <si>
    <t xml:space="preserve">Алгоритмы и исполнители. Свойства алгоритмов</t>
  </si>
  <si>
    <t xml:space="preserve">Способы записи алгоритмов. Блок-схемы. Среда Python</t>
  </si>
  <si>
    <t xml:space="preserve">Исполнитель «Черепаха» (turtle). Линейный алгоритм</t>
  </si>
  <si>
    <t xml:space="preserve">Величины и присваивание. Переменные</t>
  </si>
  <si>
    <t xml:space="preserve">Ввод и вывод данных. Типы данных</t>
  </si>
  <si>
    <t xml:space="preserve">Линейные программы. Арифметические операции</t>
  </si>
  <si>
    <t xml:space="preserve">Целочисленное деление // и %. Практикум</t>
  </si>
  <si>
    <t xml:space="preserve">Ветвление. Полная форма: if / else</t>
  </si>
  <si>
    <t xml:space="preserve">Логика 1. Высказывания. Операции НЕ, И, ИЛИ</t>
  </si>
  <si>
    <t xml:space="preserve">Логика 2. Логические выражения. Приоритет операций</t>
  </si>
  <si>
    <t xml:space="preserve">Логика 3. Таблицы истинности. Логические элементы</t>
  </si>
  <si>
    <t xml:space="preserve">Неполное ветвление. Сложные условия: and, or, not</t>
  </si>
  <si>
    <t xml:space="preserve">Выбор из нескольких вариантов: elif</t>
  </si>
  <si>
    <t xml:space="preserve">Практикум + проверочная работа по ветвлениям</t>
  </si>
  <si>
    <t xml:space="preserve">Цикл с заданным числом повторений и с переменной: for, range</t>
  </si>
  <si>
    <t xml:space="preserve">Сумма и счётчик в цикле</t>
  </si>
  <si>
    <t xml:space="preserve">Цикл с условием продолжения: while</t>
  </si>
  <si>
    <t xml:space="preserve">Цикл с условием окончания: while True + break</t>
  </si>
  <si>
    <t xml:space="preserve">Цикл + ветвление. Задачи в формате ОГЭ</t>
  </si>
  <si>
    <t xml:space="preserve">Итоговая работа</t>
  </si>
  <si>
    <t xml:space="preserve">Всего уроков с 19.10</t>
  </si>
  <si>
    <t xml:space="preserve">Пройдено тем К1–К20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</si>
</sst>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52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7"/>
    <col collapsed="false" customWidth="true" hidden="false" outlineLevel="0" max="9" min="9" style="0" width="20"/>
    <col collapsed="false" customWidth="true" hidden="false" outlineLevel="0" max="10" min="10" style="0" width="11"/>
    <col collapsed="false" customWidth="true" hidden="false" outlineLevel="0" max="11" min="11" style="0" width="7"/>
    <col collapsed="false" customWidth="true" hidden="false" outlineLevel="0" max="12" min="12" style="0" width="3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2" t="s">
        <v>12</v>
      </c>
      <c r="C2" s="2" t="s">
        <v>13</v>
      </c>
      <c r="D2" s="3" t="n">
        <v>46316</v>
      </c>
      <c r="E2" s="2" t="n">
        <v>7</v>
      </c>
      <c r="F2" s="2" t="s">
        <v>14</v>
      </c>
      <c r="G2" s="3" t="n">
        <v>46318</v>
      </c>
      <c r="H2" s="2" t="n">
        <v>7</v>
      </c>
      <c r="I2" s="2" t="s">
        <v>14</v>
      </c>
      <c r="J2" s="3" t="n">
        <v>46314</v>
      </c>
      <c r="K2" s="2" t="n">
        <v>6</v>
      </c>
      <c r="L2" s="2" t="s">
        <v>14</v>
      </c>
    </row>
    <row r="3" customFormat="false" ht="26.85" hidden="false" customHeight="false" outlineLevel="0" collapsed="false">
      <c r="A3" s="2" t="n">
        <v>2</v>
      </c>
      <c r="B3" s="2" t="s">
        <v>15</v>
      </c>
      <c r="C3" s="2" t="s">
        <v>16</v>
      </c>
      <c r="D3" s="3" t="n">
        <v>46323</v>
      </c>
      <c r="E3" s="2" t="n">
        <v>8</v>
      </c>
      <c r="F3" s="2" t="s">
        <v>17</v>
      </c>
      <c r="G3" s="3" t="n">
        <v>46325</v>
      </c>
      <c r="H3" s="2" t="n">
        <v>8</v>
      </c>
      <c r="I3" s="2" t="s">
        <v>17</v>
      </c>
      <c r="J3" s="3" t="n">
        <v>46321</v>
      </c>
      <c r="K3" s="2" t="n">
        <v>7</v>
      </c>
      <c r="L3" s="2" t="s">
        <v>17</v>
      </c>
    </row>
    <row r="4" customFormat="false" ht="15" hidden="false" customHeight="false" outlineLevel="0" collapsed="false">
      <c r="A4" s="2" t="n">
        <v>3</v>
      </c>
      <c r="B4" s="2" t="s">
        <v>18</v>
      </c>
      <c r="C4" s="4" t="s">
        <v>19</v>
      </c>
      <c r="D4" s="5"/>
      <c r="E4" s="6"/>
      <c r="F4" s="6" t="s">
        <v>20</v>
      </c>
      <c r="G4" s="5"/>
      <c r="H4" s="6"/>
      <c r="I4" s="6" t="s">
        <v>20</v>
      </c>
      <c r="J4" s="7" t="n">
        <v>46328</v>
      </c>
      <c r="K4" s="8" t="n">
        <v>8</v>
      </c>
      <c r="L4" s="8" t="s">
        <v>21</v>
      </c>
    </row>
    <row r="5" customFormat="false" ht="26.85" hidden="false" customHeight="false" outlineLevel="0" collapsed="false">
      <c r="A5" s="2" t="n">
        <v>4</v>
      </c>
      <c r="B5" s="2" t="s">
        <v>22</v>
      </c>
      <c r="C5" s="2" t="s">
        <v>23</v>
      </c>
      <c r="D5" s="3" t="n">
        <v>46337</v>
      </c>
      <c r="E5" s="2" t="n">
        <v>9</v>
      </c>
      <c r="F5" s="2" t="s">
        <v>24</v>
      </c>
      <c r="G5" s="5"/>
      <c r="H5" s="6"/>
      <c r="I5" s="6" t="s">
        <v>20</v>
      </c>
      <c r="J5" s="3" t="n">
        <v>46335</v>
      </c>
      <c r="K5" s="2" t="n">
        <v>9</v>
      </c>
      <c r="L5" s="2" t="s">
        <v>24</v>
      </c>
    </row>
    <row r="6" customFormat="false" ht="15" hidden="false" customHeight="false" outlineLevel="0" collapsed="false">
      <c r="A6" s="2" t="n">
        <v>5</v>
      </c>
      <c r="B6" s="2" t="s">
        <v>25</v>
      </c>
      <c r="C6" s="4" t="s">
        <v>26</v>
      </c>
      <c r="D6" s="3" t="n">
        <v>46344</v>
      </c>
      <c r="E6" s="2" t="n">
        <v>10</v>
      </c>
      <c r="F6" s="2" t="s">
        <v>26</v>
      </c>
      <c r="G6" s="3" t="n">
        <v>46346</v>
      </c>
      <c r="H6" s="2" t="n">
        <v>9</v>
      </c>
      <c r="I6" s="2" t="s">
        <v>26</v>
      </c>
      <c r="J6" s="5"/>
      <c r="K6" s="6"/>
      <c r="L6" s="6" t="s">
        <v>20</v>
      </c>
    </row>
    <row r="7" customFormat="false" ht="15" hidden="false" customHeight="false" outlineLevel="0" collapsed="false">
      <c r="A7" s="2" t="n">
        <v>6</v>
      </c>
      <c r="B7" s="2" t="s">
        <v>27</v>
      </c>
      <c r="C7" s="4" t="s">
        <v>28</v>
      </c>
      <c r="D7" s="3" t="n">
        <v>46351</v>
      </c>
      <c r="E7" s="2" t="n">
        <v>11</v>
      </c>
      <c r="F7" s="2" t="s">
        <v>28</v>
      </c>
      <c r="G7" s="3" t="n">
        <v>46353</v>
      </c>
      <c r="H7" s="2" t="n">
        <v>10</v>
      </c>
      <c r="I7" s="2" t="s">
        <v>28</v>
      </c>
      <c r="J7" s="7" t="n">
        <v>46349</v>
      </c>
      <c r="K7" s="8" t="n">
        <v>10</v>
      </c>
      <c r="L7" s="8" t="s">
        <v>21</v>
      </c>
    </row>
    <row r="8" customFormat="false" ht="15" hidden="false" customHeight="false" outlineLevel="0" collapsed="false">
      <c r="A8" s="2" t="n">
        <v>7</v>
      </c>
      <c r="B8" s="2" t="s">
        <v>29</v>
      </c>
      <c r="C8" s="4" t="s">
        <v>30</v>
      </c>
      <c r="D8" s="3" t="n">
        <v>46358</v>
      </c>
      <c r="E8" s="2" t="n">
        <v>12</v>
      </c>
      <c r="F8" s="2" t="s">
        <v>30</v>
      </c>
      <c r="G8" s="9" t="n">
        <v>46360</v>
      </c>
      <c r="H8" s="10" t="n">
        <v>11</v>
      </c>
      <c r="I8" s="10" t="s">
        <v>31</v>
      </c>
      <c r="J8" s="7" t="n">
        <v>46356</v>
      </c>
      <c r="K8" s="8" t="n">
        <v>11</v>
      </c>
      <c r="L8" s="8" t="s">
        <v>21</v>
      </c>
    </row>
    <row r="9" customFormat="false" ht="15" hidden="false" customHeight="false" outlineLevel="0" collapsed="false">
      <c r="A9" s="2" t="n">
        <v>8</v>
      </c>
      <c r="B9" s="2" t="s">
        <v>32</v>
      </c>
      <c r="C9" s="2" t="s">
        <v>33</v>
      </c>
      <c r="D9" s="3" t="n">
        <v>46365</v>
      </c>
      <c r="E9" s="2" t="n">
        <v>13</v>
      </c>
      <c r="F9" s="2" t="s">
        <v>31</v>
      </c>
      <c r="G9" s="9" t="n">
        <v>46367</v>
      </c>
      <c r="H9" s="10" t="n">
        <v>12</v>
      </c>
      <c r="I9" s="10" t="s">
        <v>34</v>
      </c>
      <c r="J9" s="3" t="n">
        <v>46363</v>
      </c>
      <c r="K9" s="2" t="n">
        <v>12</v>
      </c>
      <c r="L9" s="2" t="s">
        <v>31</v>
      </c>
    </row>
    <row r="10" customFormat="false" ht="15" hidden="false" customHeight="false" outlineLevel="0" collapsed="false">
      <c r="A10" s="2" t="n">
        <v>9</v>
      </c>
      <c r="B10" s="2" t="s">
        <v>35</v>
      </c>
      <c r="C10" s="2" t="s">
        <v>36</v>
      </c>
      <c r="D10" s="3" t="n">
        <v>46372</v>
      </c>
      <c r="E10" s="2" t="n">
        <v>14</v>
      </c>
      <c r="F10" s="2" t="s">
        <v>34</v>
      </c>
      <c r="G10" s="9" t="n">
        <v>46374</v>
      </c>
      <c r="H10" s="10" t="n">
        <v>13</v>
      </c>
      <c r="I10" s="10" t="s">
        <v>37</v>
      </c>
      <c r="J10" s="3" t="n">
        <v>46370</v>
      </c>
      <c r="K10" s="2" t="n">
        <v>13</v>
      </c>
      <c r="L10" s="2" t="s">
        <v>34</v>
      </c>
    </row>
    <row r="11" customFormat="false" ht="26.85" hidden="false" customHeight="false" outlineLevel="0" collapsed="false">
      <c r="A11" s="2" t="n">
        <v>10</v>
      </c>
      <c r="B11" s="2" t="s">
        <v>38</v>
      </c>
      <c r="C11" s="2" t="s">
        <v>39</v>
      </c>
      <c r="D11" s="3" t="n">
        <v>46379</v>
      </c>
      <c r="E11" s="2" t="n">
        <v>15</v>
      </c>
      <c r="F11" s="2" t="s">
        <v>37</v>
      </c>
      <c r="G11" s="5"/>
      <c r="H11" s="6"/>
      <c r="I11" s="6" t="s">
        <v>20</v>
      </c>
      <c r="J11" s="3" t="n">
        <v>46377</v>
      </c>
      <c r="K11" s="2" t="n">
        <v>14</v>
      </c>
      <c r="L11" s="2" t="s">
        <v>37</v>
      </c>
    </row>
    <row r="12" customFormat="false" ht="15" hidden="false" customHeight="false" outlineLevel="0" collapsed="false">
      <c r="A12" s="2" t="n">
        <v>11</v>
      </c>
      <c r="B12" s="2" t="s">
        <v>40</v>
      </c>
      <c r="C12" s="4" t="s">
        <v>19</v>
      </c>
      <c r="D12" s="5"/>
      <c r="E12" s="6"/>
      <c r="F12" s="6" t="s">
        <v>20</v>
      </c>
      <c r="G12" s="5"/>
      <c r="H12" s="6"/>
      <c r="I12" s="6" t="s">
        <v>20</v>
      </c>
      <c r="J12" s="7" t="n">
        <v>46384</v>
      </c>
      <c r="K12" s="8" t="n">
        <v>15</v>
      </c>
      <c r="L12" s="8" t="s">
        <v>21</v>
      </c>
    </row>
    <row r="13" customFormat="false" ht="15" hidden="false" customHeight="false" outlineLevel="0" collapsed="false">
      <c r="A13" s="2" t="n">
        <v>12</v>
      </c>
      <c r="B13" s="2" t="s">
        <v>41</v>
      </c>
      <c r="C13" s="4" t="s">
        <v>42</v>
      </c>
      <c r="D13" s="5"/>
      <c r="E13" s="6"/>
      <c r="F13" s="6" t="s">
        <v>20</v>
      </c>
      <c r="G13" s="5"/>
      <c r="H13" s="6"/>
      <c r="I13" s="6" t="s">
        <v>20</v>
      </c>
      <c r="J13" s="5"/>
      <c r="K13" s="6"/>
      <c r="L13" s="6" t="s">
        <v>20</v>
      </c>
    </row>
    <row r="14" customFormat="false" ht="15" hidden="false" customHeight="false" outlineLevel="0" collapsed="false">
      <c r="A14" s="2" t="n">
        <v>13</v>
      </c>
      <c r="B14" s="2" t="s">
        <v>43</v>
      </c>
      <c r="C14" s="2" t="s">
        <v>44</v>
      </c>
      <c r="D14" s="3" t="n">
        <v>46400</v>
      </c>
      <c r="E14" s="2" t="n">
        <v>16</v>
      </c>
      <c r="F14" s="2" t="s">
        <v>45</v>
      </c>
      <c r="G14" s="3" t="n">
        <v>46402</v>
      </c>
      <c r="H14" s="2" t="n">
        <v>14</v>
      </c>
      <c r="I14" s="2" t="s">
        <v>45</v>
      </c>
      <c r="J14" s="3" t="n">
        <v>46398</v>
      </c>
      <c r="K14" s="2" t="n">
        <v>16</v>
      </c>
      <c r="L14" s="2" t="s">
        <v>45</v>
      </c>
    </row>
    <row r="15" customFormat="false" ht="15" hidden="false" customHeight="false" outlineLevel="0" collapsed="false">
      <c r="A15" s="2" t="n">
        <v>14</v>
      </c>
      <c r="B15" s="2" t="s">
        <v>46</v>
      </c>
      <c r="C15" s="2" t="s">
        <v>47</v>
      </c>
      <c r="D15" s="3" t="n">
        <v>46407</v>
      </c>
      <c r="E15" s="2" t="n">
        <v>17</v>
      </c>
      <c r="F15" s="2" t="s">
        <v>48</v>
      </c>
      <c r="G15" s="3" t="n">
        <v>46409</v>
      </c>
      <c r="H15" s="2" t="n">
        <v>15</v>
      </c>
      <c r="I15" s="2" t="s">
        <v>48</v>
      </c>
      <c r="J15" s="3" t="n">
        <v>46405</v>
      </c>
      <c r="K15" s="2" t="n">
        <v>17</v>
      </c>
      <c r="L15" s="2" t="s">
        <v>48</v>
      </c>
    </row>
    <row r="16" customFormat="false" ht="15" hidden="false" customHeight="false" outlineLevel="0" collapsed="false">
      <c r="A16" s="2" t="n">
        <v>15</v>
      </c>
      <c r="B16" s="2" t="s">
        <v>49</v>
      </c>
      <c r="C16" s="2" t="s">
        <v>50</v>
      </c>
      <c r="D16" s="3" t="n">
        <v>46414</v>
      </c>
      <c r="E16" s="2" t="n">
        <v>18</v>
      </c>
      <c r="F16" s="2" t="s">
        <v>51</v>
      </c>
      <c r="G16" s="3" t="n">
        <v>46416</v>
      </c>
      <c r="H16" s="2" t="n">
        <v>16</v>
      </c>
      <c r="I16" s="2" t="s">
        <v>51</v>
      </c>
      <c r="J16" s="3" t="n">
        <v>46412</v>
      </c>
      <c r="K16" s="2" t="n">
        <v>18</v>
      </c>
      <c r="L16" s="2" t="s">
        <v>51</v>
      </c>
    </row>
    <row r="17" customFormat="false" ht="26.85" hidden="false" customHeight="false" outlineLevel="0" collapsed="false">
      <c r="A17" s="2" t="n">
        <v>16</v>
      </c>
      <c r="B17" s="2" t="s">
        <v>52</v>
      </c>
      <c r="C17" s="2" t="s">
        <v>53</v>
      </c>
      <c r="D17" s="3" t="n">
        <v>46421</v>
      </c>
      <c r="E17" s="2" t="n">
        <v>19</v>
      </c>
      <c r="F17" s="2" t="s">
        <v>54</v>
      </c>
      <c r="G17" s="3" t="n">
        <v>46423</v>
      </c>
      <c r="H17" s="2" t="n">
        <v>17</v>
      </c>
      <c r="I17" s="2" t="s">
        <v>54</v>
      </c>
      <c r="J17" s="3" t="n">
        <v>46419</v>
      </c>
      <c r="K17" s="2" t="n">
        <v>19</v>
      </c>
      <c r="L17" s="2" t="s">
        <v>54</v>
      </c>
    </row>
    <row r="18" customFormat="false" ht="26.85" hidden="false" customHeight="false" outlineLevel="0" collapsed="false">
      <c r="A18" s="2" t="n">
        <v>17</v>
      </c>
      <c r="B18" s="2" t="s">
        <v>55</v>
      </c>
      <c r="C18" s="2" t="s">
        <v>56</v>
      </c>
      <c r="D18" s="3" t="n">
        <v>46428</v>
      </c>
      <c r="E18" s="2" t="n">
        <v>20</v>
      </c>
      <c r="F18" s="2" t="s">
        <v>57</v>
      </c>
      <c r="G18" s="3" t="n">
        <v>46430</v>
      </c>
      <c r="H18" s="2" t="n">
        <v>18</v>
      </c>
      <c r="I18" s="2" t="s">
        <v>57</v>
      </c>
      <c r="J18" s="3" t="n">
        <v>46426</v>
      </c>
      <c r="K18" s="2" t="n">
        <v>20</v>
      </c>
      <c r="L18" s="2" t="s">
        <v>57</v>
      </c>
    </row>
    <row r="19" customFormat="false" ht="26.85" hidden="false" customHeight="false" outlineLevel="0" collapsed="false">
      <c r="A19" s="2" t="n">
        <v>18</v>
      </c>
      <c r="B19" s="2" t="s">
        <v>58</v>
      </c>
      <c r="C19" s="2" t="s">
        <v>59</v>
      </c>
      <c r="D19" s="3" t="n">
        <v>46435</v>
      </c>
      <c r="E19" s="2" t="n">
        <v>21</v>
      </c>
      <c r="F19" s="2" t="s">
        <v>60</v>
      </c>
      <c r="G19" s="3" t="n">
        <v>46437</v>
      </c>
      <c r="H19" s="2" t="n">
        <v>19</v>
      </c>
      <c r="I19" s="2" t="s">
        <v>60</v>
      </c>
      <c r="J19" s="3" t="n">
        <v>46433</v>
      </c>
      <c r="K19" s="2" t="n">
        <v>21</v>
      </c>
      <c r="L19" s="2" t="s">
        <v>60</v>
      </c>
    </row>
    <row r="20" customFormat="false" ht="15" hidden="false" customHeight="false" outlineLevel="0" collapsed="false">
      <c r="A20" s="2" t="n">
        <v>19</v>
      </c>
      <c r="B20" s="2" t="s">
        <v>61</v>
      </c>
      <c r="C20" s="2" t="s">
        <v>62</v>
      </c>
      <c r="D20" s="3" t="n">
        <v>46442</v>
      </c>
      <c r="E20" s="2" t="n">
        <v>22</v>
      </c>
      <c r="F20" s="2" t="s">
        <v>63</v>
      </c>
      <c r="G20" s="3" t="n">
        <v>46444</v>
      </c>
      <c r="H20" s="2" t="n">
        <v>20</v>
      </c>
      <c r="I20" s="2" t="s">
        <v>63</v>
      </c>
      <c r="J20" s="5"/>
      <c r="K20" s="6"/>
      <c r="L20" s="6" t="s">
        <v>20</v>
      </c>
    </row>
    <row r="21" customFormat="false" ht="15" hidden="false" customHeight="false" outlineLevel="0" collapsed="false">
      <c r="A21" s="2" t="n">
        <v>20</v>
      </c>
      <c r="B21" s="2" t="s">
        <v>64</v>
      </c>
      <c r="C21" s="4" t="s">
        <v>19</v>
      </c>
      <c r="D21" s="5"/>
      <c r="E21" s="6"/>
      <c r="F21" s="6" t="s">
        <v>20</v>
      </c>
      <c r="G21" s="5"/>
      <c r="H21" s="6"/>
      <c r="I21" s="6" t="s">
        <v>20</v>
      </c>
      <c r="J21" s="9" t="n">
        <v>46447</v>
      </c>
      <c r="K21" s="10" t="n">
        <v>22</v>
      </c>
      <c r="L21" s="10" t="s">
        <v>63</v>
      </c>
    </row>
    <row r="22" customFormat="false" ht="26.85" hidden="false" customHeight="false" outlineLevel="0" collapsed="false">
      <c r="A22" s="2" t="n">
        <v>21</v>
      </c>
      <c r="B22" s="2" t="s">
        <v>65</v>
      </c>
      <c r="C22" s="2" t="s">
        <v>66</v>
      </c>
      <c r="D22" s="3" t="n">
        <v>46456</v>
      </c>
      <c r="E22" s="2" t="n">
        <v>23</v>
      </c>
      <c r="F22" s="2" t="s">
        <v>67</v>
      </c>
      <c r="G22" s="3" t="n">
        <v>46458</v>
      </c>
      <c r="H22" s="2" t="n">
        <v>21</v>
      </c>
      <c r="I22" s="2" t="s">
        <v>67</v>
      </c>
      <c r="J22" s="5"/>
      <c r="K22" s="6"/>
      <c r="L22" s="6" t="s">
        <v>20</v>
      </c>
    </row>
    <row r="23" customFormat="false" ht="26.85" hidden="false" customHeight="false" outlineLevel="0" collapsed="false">
      <c r="A23" s="2" t="n">
        <v>22</v>
      </c>
      <c r="B23" s="2" t="s">
        <v>68</v>
      </c>
      <c r="C23" s="2" t="s">
        <v>69</v>
      </c>
      <c r="D23" s="3" t="n">
        <v>46463</v>
      </c>
      <c r="E23" s="2" t="n">
        <v>24</v>
      </c>
      <c r="F23" s="2" t="s">
        <v>70</v>
      </c>
      <c r="G23" s="3" t="n">
        <v>46465</v>
      </c>
      <c r="H23" s="2" t="n">
        <v>22</v>
      </c>
      <c r="I23" s="2" t="s">
        <v>70</v>
      </c>
      <c r="J23" s="9" t="n">
        <v>46461</v>
      </c>
      <c r="K23" s="10" t="n">
        <v>23</v>
      </c>
      <c r="L23" s="10" t="s">
        <v>67</v>
      </c>
    </row>
    <row r="24" customFormat="false" ht="15" hidden="false" customHeight="false" outlineLevel="0" collapsed="false">
      <c r="A24" s="2" t="n">
        <v>23</v>
      </c>
      <c r="B24" s="2" t="s">
        <v>71</v>
      </c>
      <c r="C24" s="2" t="s">
        <v>72</v>
      </c>
      <c r="D24" s="3" t="n">
        <v>46470</v>
      </c>
      <c r="E24" s="2" t="n">
        <v>25</v>
      </c>
      <c r="F24" s="2" t="s">
        <v>73</v>
      </c>
      <c r="G24" s="3" t="n">
        <v>46472</v>
      </c>
      <c r="H24" s="2" t="n">
        <v>23</v>
      </c>
      <c r="I24" s="2" t="s">
        <v>73</v>
      </c>
      <c r="J24" s="9" t="n">
        <v>46468</v>
      </c>
      <c r="K24" s="10" t="n">
        <v>24</v>
      </c>
      <c r="L24" s="10" t="s">
        <v>70</v>
      </c>
    </row>
    <row r="25" customFormat="false" ht="15" hidden="false" customHeight="false" outlineLevel="0" collapsed="false">
      <c r="A25" s="2" t="n">
        <v>24</v>
      </c>
      <c r="B25" s="2" t="s">
        <v>74</v>
      </c>
      <c r="C25" s="2" t="s">
        <v>75</v>
      </c>
      <c r="D25" s="3" t="n">
        <v>46477</v>
      </c>
      <c r="E25" s="2" t="n">
        <v>26</v>
      </c>
      <c r="F25" s="2" t="s">
        <v>76</v>
      </c>
      <c r="G25" s="3" t="n">
        <v>46479</v>
      </c>
      <c r="H25" s="2" t="n">
        <v>24</v>
      </c>
      <c r="I25" s="2" t="s">
        <v>76</v>
      </c>
      <c r="J25" s="9" t="n">
        <v>46475</v>
      </c>
      <c r="K25" s="10" t="n">
        <v>25</v>
      </c>
      <c r="L25" s="10" t="s">
        <v>73</v>
      </c>
    </row>
    <row r="26" customFormat="false" ht="15" hidden="false" customHeight="false" outlineLevel="0" collapsed="false">
      <c r="A26" s="2" t="n">
        <v>25</v>
      </c>
      <c r="B26" s="2" t="s">
        <v>77</v>
      </c>
      <c r="C26" s="2" t="s">
        <v>78</v>
      </c>
      <c r="D26" s="3" t="n">
        <v>46484</v>
      </c>
      <c r="E26" s="2" t="n">
        <v>27</v>
      </c>
      <c r="F26" s="2" t="s">
        <v>79</v>
      </c>
      <c r="G26" s="3" t="n">
        <v>46486</v>
      </c>
      <c r="H26" s="2" t="n">
        <v>25</v>
      </c>
      <c r="I26" s="2" t="s">
        <v>79</v>
      </c>
      <c r="J26" s="5"/>
      <c r="K26" s="6"/>
      <c r="L26" s="6" t="s">
        <v>20</v>
      </c>
    </row>
    <row r="27" customFormat="false" ht="15" hidden="false" customHeight="false" outlineLevel="0" collapsed="false">
      <c r="A27" s="2" t="n">
        <v>26</v>
      </c>
      <c r="B27" s="2" t="s">
        <v>80</v>
      </c>
      <c r="C27" s="4" t="s">
        <v>81</v>
      </c>
      <c r="D27" s="3" t="n">
        <v>46491</v>
      </c>
      <c r="E27" s="2" t="n">
        <v>28</v>
      </c>
      <c r="F27" s="2" t="s">
        <v>81</v>
      </c>
      <c r="G27" s="3" t="n">
        <v>46493</v>
      </c>
      <c r="H27" s="2" t="n">
        <v>26</v>
      </c>
      <c r="I27" s="2" t="s">
        <v>81</v>
      </c>
      <c r="J27" s="9" t="n">
        <v>46489</v>
      </c>
      <c r="K27" s="10" t="n">
        <v>26</v>
      </c>
      <c r="L27" s="10" t="s">
        <v>76</v>
      </c>
    </row>
    <row r="28" customFormat="false" ht="15" hidden="false" customHeight="false" outlineLevel="0" collapsed="false">
      <c r="A28" s="2" t="n">
        <v>27</v>
      </c>
      <c r="B28" s="2" t="s">
        <v>82</v>
      </c>
      <c r="C28" s="4" t="s">
        <v>83</v>
      </c>
      <c r="D28" s="3" t="n">
        <v>46498</v>
      </c>
      <c r="E28" s="2" t="n">
        <v>29</v>
      </c>
      <c r="F28" s="2" t="s">
        <v>83</v>
      </c>
      <c r="G28" s="3" t="n">
        <v>46500</v>
      </c>
      <c r="H28" s="2" t="n">
        <v>27</v>
      </c>
      <c r="I28" s="2" t="s">
        <v>83</v>
      </c>
      <c r="J28" s="9" t="n">
        <v>46496</v>
      </c>
      <c r="K28" s="10" t="n">
        <v>27</v>
      </c>
      <c r="L28" s="10" t="s">
        <v>79</v>
      </c>
    </row>
    <row r="29" customFormat="false" ht="15" hidden="false" customHeight="false" outlineLevel="0" collapsed="false">
      <c r="A29" s="2" t="n">
        <v>28</v>
      </c>
      <c r="B29" s="2" t="s">
        <v>84</v>
      </c>
      <c r="C29" s="4" t="s">
        <v>85</v>
      </c>
      <c r="D29" s="3" t="n">
        <v>46505</v>
      </c>
      <c r="E29" s="2" t="n">
        <v>30</v>
      </c>
      <c r="F29" s="2" t="s">
        <v>85</v>
      </c>
      <c r="G29" s="5"/>
      <c r="H29" s="6"/>
      <c r="I29" s="6" t="s">
        <v>20</v>
      </c>
      <c r="J29" s="9" t="n">
        <v>46503</v>
      </c>
      <c r="K29" s="10" t="n">
        <v>28</v>
      </c>
      <c r="L29" s="10" t="s">
        <v>86</v>
      </c>
    </row>
    <row r="30" customFormat="false" ht="15" hidden="false" customHeight="false" outlineLevel="0" collapsed="false">
      <c r="A30" s="2" t="n">
        <v>29</v>
      </c>
      <c r="B30" s="2" t="s">
        <v>87</v>
      </c>
      <c r="C30" s="2" t="s">
        <v>88</v>
      </c>
      <c r="D30" s="3" t="n">
        <v>46512</v>
      </c>
      <c r="E30" s="2" t="n">
        <v>31</v>
      </c>
      <c r="F30" s="2" t="s">
        <v>86</v>
      </c>
      <c r="G30" s="3" t="n">
        <v>46514</v>
      </c>
      <c r="H30" s="2" t="n">
        <v>28</v>
      </c>
      <c r="I30" s="2" t="s">
        <v>86</v>
      </c>
      <c r="J30" s="5"/>
      <c r="K30" s="6"/>
      <c r="L30" s="6" t="s">
        <v>20</v>
      </c>
    </row>
    <row r="31" customFormat="false" ht="15" hidden="false" customHeight="false" outlineLevel="0" collapsed="false">
      <c r="A31" s="2" t="n">
        <v>30</v>
      </c>
      <c r="B31" s="2" t="s">
        <v>89</v>
      </c>
      <c r="C31" s="2" t="s">
        <v>90</v>
      </c>
      <c r="D31" s="3" t="n">
        <v>46519</v>
      </c>
      <c r="E31" s="2" t="n">
        <v>32</v>
      </c>
      <c r="F31" s="2" t="s">
        <v>91</v>
      </c>
      <c r="G31" s="3" t="n">
        <v>46521</v>
      </c>
      <c r="H31" s="2" t="n">
        <v>29</v>
      </c>
      <c r="I31" s="2" t="s">
        <v>91</v>
      </c>
      <c r="J31" s="5"/>
      <c r="K31" s="6"/>
      <c r="L31" s="6" t="s">
        <v>20</v>
      </c>
    </row>
    <row r="32" customFormat="false" ht="15" hidden="false" customHeight="false" outlineLevel="0" collapsed="false">
      <c r="A32" s="2" t="n">
        <v>31</v>
      </c>
      <c r="B32" s="2" t="s">
        <v>92</v>
      </c>
      <c r="C32" s="4" t="s">
        <v>93</v>
      </c>
      <c r="D32" s="3" t="n">
        <v>46526</v>
      </c>
      <c r="E32" s="2" t="n">
        <v>33</v>
      </c>
      <c r="F32" s="2" t="s">
        <v>93</v>
      </c>
      <c r="G32" s="5"/>
      <c r="H32" s="6"/>
      <c r="I32" s="6" t="s">
        <v>20</v>
      </c>
      <c r="J32" s="9" t="n">
        <v>46524</v>
      </c>
      <c r="K32" s="10" t="n">
        <v>29</v>
      </c>
      <c r="L32" s="10" t="s">
        <v>91</v>
      </c>
    </row>
    <row r="33" customFormat="false" ht="15" hidden="false" customHeight="false" outlineLevel="0" collapsed="false">
      <c r="A33" s="2" t="n">
        <v>32</v>
      </c>
      <c r="B33" s="2" t="s">
        <v>94</v>
      </c>
      <c r="C33" s="4" t="s">
        <v>95</v>
      </c>
      <c r="D33" s="3" t="n">
        <v>46533</v>
      </c>
      <c r="E33" s="2" t="n">
        <v>34</v>
      </c>
      <c r="F33" s="2" t="s">
        <v>95</v>
      </c>
      <c r="G33" s="5"/>
      <c r="H33" s="6"/>
      <c r="I33" s="6" t="s">
        <v>20</v>
      </c>
      <c r="J33" s="7" t="n">
        <v>46531</v>
      </c>
      <c r="K33" s="8" t="n">
        <v>30</v>
      </c>
      <c r="L33" s="8" t="s">
        <v>93</v>
      </c>
    </row>
    <row r="34" customFormat="false" ht="15" hidden="false" customHeight="false" outlineLevel="0" collapsed="false">
      <c r="A34" s="2" t="n">
        <v>33</v>
      </c>
      <c r="B34" s="2" t="s">
        <v>96</v>
      </c>
      <c r="C34" s="4" t="s">
        <v>19</v>
      </c>
      <c r="D34" s="5"/>
      <c r="E34" s="6"/>
      <c r="F34" s="6" t="s">
        <v>20</v>
      </c>
      <c r="G34" s="5"/>
      <c r="H34" s="6"/>
      <c r="I34" s="6" t="s">
        <v>20</v>
      </c>
      <c r="J34" s="7" t="n">
        <v>46538</v>
      </c>
      <c r="K34" s="8" t="n">
        <v>31</v>
      </c>
      <c r="L34" s="8" t="s">
        <v>95</v>
      </c>
    </row>
    <row r="36" customFormat="false" ht="15" hidden="false" customHeight="false" outlineLevel="0" collapsed="false">
      <c r="A36" s="11" t="s">
        <v>97</v>
      </c>
    </row>
    <row r="37" customFormat="false" ht="15" hidden="false" customHeight="false" outlineLevel="0" collapsed="false">
      <c r="A37" s="12" t="s">
        <v>98</v>
      </c>
    </row>
    <row r="38" customFormat="false" ht="15" hidden="false" customHeight="false" outlineLevel="0" collapsed="false">
      <c r="A38" s="12" t="s">
        <v>99</v>
      </c>
    </row>
    <row r="39" customFormat="false" ht="15" hidden="false" customHeight="false" outlineLevel="0" collapsed="false">
      <c r="A39" s="12" t="s">
        <v>100</v>
      </c>
    </row>
    <row r="40" customFormat="false" ht="15" hidden="false" customHeight="false" outlineLevel="0" collapsed="false">
      <c r="A40" s="12" t="s">
        <v>101</v>
      </c>
    </row>
    <row r="41" customFormat="false" ht="15" hidden="false" customHeight="false" outlineLevel="0" collapsed="false">
      <c r="A41" s="12" t="s">
        <v>102</v>
      </c>
    </row>
    <row r="42" customFormat="false" ht="15" hidden="false" customHeight="false" outlineLevel="0" collapsed="false">
      <c r="A42" s="12" t="s">
        <v>103</v>
      </c>
    </row>
    <row r="43" customFormat="false" ht="15" hidden="false" customHeight="false" outlineLevel="0" collapsed="false">
      <c r="A43" s="12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5" min="3" style="0" width="13"/>
  </cols>
  <sheetData>
    <row r="1" customFormat="false" ht="15" hidden="false" customHeight="false" outlineLevel="0" collapsed="false">
      <c r="A1" s="13" t="s">
        <v>105</v>
      </c>
      <c r="B1" s="13" t="s">
        <v>106</v>
      </c>
      <c r="C1" s="13" t="s">
        <v>107</v>
      </c>
      <c r="D1" s="13" t="s">
        <v>108</v>
      </c>
      <c r="E1" s="13" t="s">
        <v>109</v>
      </c>
    </row>
    <row r="2" customFormat="false" ht="15" hidden="false" customHeight="false" outlineLevel="0" collapsed="false">
      <c r="A2" s="12" t="s">
        <v>14</v>
      </c>
      <c r="B2" s="12" t="s">
        <v>110</v>
      </c>
      <c r="C2" s="14" t="n">
        <f aca="false">IFERROR(INDEX('По неделям'!$D$2:$D$34,MATCH("К1",'По неделям'!$F$2:$F$34,0)),"не проходит")</f>
        <v>46316</v>
      </c>
      <c r="D2" s="14" t="n">
        <f aca="false">IFERROR(INDEX('По неделям'!$G$2:$G$34,MATCH("К1",'По неделям'!$I$2:$I$34,0)),"не проходит")</f>
        <v>46318</v>
      </c>
      <c r="E2" s="14" t="n">
        <f aca="false">IFERROR(INDEX('По неделям'!$J$2:$J$34,MATCH("К1",'По неделям'!$L$2:$L$34,0)),"не проходит")</f>
        <v>46314</v>
      </c>
    </row>
    <row r="3" customFormat="false" ht="15" hidden="false" customHeight="false" outlineLevel="0" collapsed="false">
      <c r="A3" s="12" t="s">
        <v>17</v>
      </c>
      <c r="B3" s="12" t="s">
        <v>111</v>
      </c>
      <c r="C3" s="14" t="n">
        <f aca="false">IFERROR(INDEX('По неделям'!$D$2:$D$34,MATCH("К2",'По неделям'!$F$2:$F$34,0)),"не проходит")</f>
        <v>46323</v>
      </c>
      <c r="D3" s="14" t="n">
        <f aca="false">IFERROR(INDEX('По неделям'!$G$2:$G$34,MATCH("К2",'По неделям'!$I$2:$I$34,0)),"не проходит")</f>
        <v>46325</v>
      </c>
      <c r="E3" s="14" t="n">
        <f aca="false">IFERROR(INDEX('По неделям'!$J$2:$J$34,MATCH("К2",'По неделям'!$L$2:$L$34,0)),"не проходит")</f>
        <v>46321</v>
      </c>
    </row>
    <row r="4" customFormat="false" ht="15" hidden="false" customHeight="false" outlineLevel="0" collapsed="false">
      <c r="A4" s="12" t="s">
        <v>24</v>
      </c>
      <c r="B4" s="12" t="s">
        <v>112</v>
      </c>
      <c r="C4" s="14" t="n">
        <f aca="false">IFERROR(INDEX('По неделям'!$D$2:$D$34,MATCH("К3",'По неделям'!$F$2:$F$34,0)),"не проходит")</f>
        <v>46337</v>
      </c>
      <c r="D4" s="14" t="str">
        <f aca="false">IFERROR(INDEX('По неделям'!$G$2:$G$34,MATCH("К3",'По неделям'!$I$2:$I$34,0)),"не проходит")</f>
        <v>не проходит</v>
      </c>
      <c r="E4" s="14" t="n">
        <f aca="false">IFERROR(INDEX('По неделям'!$J$2:$J$34,MATCH("К3",'По неделям'!$L$2:$L$34,0)),"не проходит")</f>
        <v>46335</v>
      </c>
    </row>
    <row r="5" customFormat="false" ht="15" hidden="false" customHeight="false" outlineLevel="0" collapsed="false">
      <c r="A5" s="12" t="s">
        <v>31</v>
      </c>
      <c r="B5" s="12" t="s">
        <v>113</v>
      </c>
      <c r="C5" s="14" t="n">
        <f aca="false">IFERROR(INDEX('По неделям'!$D$2:$D$34,MATCH("К4",'По неделям'!$F$2:$F$34,0)),"не проходит")</f>
        <v>46365</v>
      </c>
      <c r="D5" s="14" t="n">
        <f aca="false">IFERROR(INDEX('По неделям'!$G$2:$G$34,MATCH("К4",'По неделям'!$I$2:$I$34,0)),"не проходит")</f>
        <v>46360</v>
      </c>
      <c r="E5" s="14" t="n">
        <f aca="false">IFERROR(INDEX('По неделям'!$J$2:$J$34,MATCH("К4",'По неделям'!$L$2:$L$34,0)),"не проходит")</f>
        <v>46363</v>
      </c>
    </row>
    <row r="6" customFormat="false" ht="15" hidden="false" customHeight="false" outlineLevel="0" collapsed="false">
      <c r="A6" s="12" t="s">
        <v>34</v>
      </c>
      <c r="B6" s="12" t="s">
        <v>114</v>
      </c>
      <c r="C6" s="14" t="n">
        <f aca="false">IFERROR(INDEX('По неделям'!$D$2:$D$34,MATCH("К5",'По неделям'!$F$2:$F$34,0)),"не проходит")</f>
        <v>46372</v>
      </c>
      <c r="D6" s="14" t="n">
        <f aca="false">IFERROR(INDEX('По неделям'!$G$2:$G$34,MATCH("К5",'По неделям'!$I$2:$I$34,0)),"не проходит")</f>
        <v>46367</v>
      </c>
      <c r="E6" s="14" t="n">
        <f aca="false">IFERROR(INDEX('По неделям'!$J$2:$J$34,MATCH("К5",'По неделям'!$L$2:$L$34,0)),"не проходит")</f>
        <v>46370</v>
      </c>
    </row>
    <row r="7" customFormat="false" ht="15" hidden="false" customHeight="false" outlineLevel="0" collapsed="false">
      <c r="A7" s="12" t="s">
        <v>37</v>
      </c>
      <c r="B7" s="12" t="s">
        <v>115</v>
      </c>
      <c r="C7" s="14" t="n">
        <f aca="false">IFERROR(INDEX('По неделям'!$D$2:$D$34,MATCH("К6",'По неделям'!$F$2:$F$34,0)),"не проходит")</f>
        <v>46379</v>
      </c>
      <c r="D7" s="14" t="n">
        <f aca="false">IFERROR(INDEX('По неделям'!$G$2:$G$34,MATCH("К6",'По неделям'!$I$2:$I$34,0)),"не проходит")</f>
        <v>46374</v>
      </c>
      <c r="E7" s="14" t="n">
        <f aca="false">IFERROR(INDEX('По неделям'!$J$2:$J$34,MATCH("К6",'По неделям'!$L$2:$L$34,0)),"не проходит")</f>
        <v>46377</v>
      </c>
    </row>
    <row r="8" customFormat="false" ht="15" hidden="false" customHeight="false" outlineLevel="0" collapsed="false">
      <c r="A8" s="12" t="s">
        <v>45</v>
      </c>
      <c r="B8" s="12" t="s">
        <v>116</v>
      </c>
      <c r="C8" s="14" t="n">
        <f aca="false">IFERROR(INDEX('По неделям'!$D$2:$D$34,MATCH("К7",'По неделям'!$F$2:$F$34,0)),"не проходит")</f>
        <v>46400</v>
      </c>
      <c r="D8" s="14" t="n">
        <f aca="false">IFERROR(INDEX('По неделям'!$G$2:$G$34,MATCH("К7",'По неделям'!$I$2:$I$34,0)),"не проходит")</f>
        <v>46402</v>
      </c>
      <c r="E8" s="14" t="n">
        <f aca="false">IFERROR(INDEX('По неделям'!$J$2:$J$34,MATCH("К7",'По неделям'!$L$2:$L$34,0)),"не проходит")</f>
        <v>46398</v>
      </c>
    </row>
    <row r="9" customFormat="false" ht="15" hidden="false" customHeight="false" outlineLevel="0" collapsed="false">
      <c r="A9" s="12" t="s">
        <v>48</v>
      </c>
      <c r="B9" s="12" t="s">
        <v>117</v>
      </c>
      <c r="C9" s="14" t="n">
        <f aca="false">IFERROR(INDEX('По неделям'!$D$2:$D$34,MATCH("К8",'По неделям'!$F$2:$F$34,0)),"не проходит")</f>
        <v>46407</v>
      </c>
      <c r="D9" s="14" t="n">
        <f aca="false">IFERROR(INDEX('По неделям'!$G$2:$G$34,MATCH("К8",'По неделям'!$I$2:$I$34,0)),"не проходит")</f>
        <v>46409</v>
      </c>
      <c r="E9" s="14" t="n">
        <f aca="false">IFERROR(INDEX('По неделям'!$J$2:$J$34,MATCH("К8",'По неделям'!$L$2:$L$34,0)),"не проходит")</f>
        <v>46405</v>
      </c>
    </row>
    <row r="10" customFormat="false" ht="15" hidden="false" customHeight="false" outlineLevel="0" collapsed="false">
      <c r="A10" s="12" t="s">
        <v>51</v>
      </c>
      <c r="B10" s="12" t="s">
        <v>118</v>
      </c>
      <c r="C10" s="14" t="n">
        <f aca="false">IFERROR(INDEX('По неделям'!$D$2:$D$34,MATCH("К9",'По неделям'!$F$2:$F$34,0)),"не проходит")</f>
        <v>46414</v>
      </c>
      <c r="D10" s="14" t="n">
        <f aca="false">IFERROR(INDEX('По неделям'!$G$2:$G$34,MATCH("К9",'По неделям'!$I$2:$I$34,0)),"не проходит")</f>
        <v>46416</v>
      </c>
      <c r="E10" s="14" t="n">
        <f aca="false">IFERROR(INDEX('По неделям'!$J$2:$J$34,MATCH("К9",'По неделям'!$L$2:$L$34,0)),"не проходит")</f>
        <v>46412</v>
      </c>
    </row>
    <row r="11" customFormat="false" ht="15" hidden="false" customHeight="false" outlineLevel="0" collapsed="false">
      <c r="A11" s="12" t="s">
        <v>54</v>
      </c>
      <c r="B11" s="12" t="s">
        <v>119</v>
      </c>
      <c r="C11" s="14" t="n">
        <f aca="false">IFERROR(INDEX('По неделям'!$D$2:$D$34,MATCH("К10",'По неделям'!$F$2:$F$34,0)),"не проходит")</f>
        <v>46421</v>
      </c>
      <c r="D11" s="14" t="n">
        <f aca="false">IFERROR(INDEX('По неделям'!$G$2:$G$34,MATCH("К10",'По неделям'!$I$2:$I$34,0)),"не проходит")</f>
        <v>46423</v>
      </c>
      <c r="E11" s="14" t="n">
        <f aca="false">IFERROR(INDEX('По неделям'!$J$2:$J$34,MATCH("К10",'По неделям'!$L$2:$L$34,0)),"не проходит")</f>
        <v>46419</v>
      </c>
    </row>
    <row r="12" customFormat="false" ht="15" hidden="false" customHeight="false" outlineLevel="0" collapsed="false">
      <c r="A12" s="12" t="s">
        <v>57</v>
      </c>
      <c r="B12" s="12" t="s">
        <v>120</v>
      </c>
      <c r="C12" s="14" t="n">
        <f aca="false">IFERROR(INDEX('По неделям'!$D$2:$D$34,MATCH("К11",'По неделям'!$F$2:$F$34,0)),"не проходит")</f>
        <v>46428</v>
      </c>
      <c r="D12" s="14" t="n">
        <f aca="false">IFERROR(INDEX('По неделям'!$G$2:$G$34,MATCH("К11",'По неделям'!$I$2:$I$34,0)),"не проходит")</f>
        <v>46430</v>
      </c>
      <c r="E12" s="14" t="n">
        <f aca="false">IFERROR(INDEX('По неделям'!$J$2:$J$34,MATCH("К11",'По неделям'!$L$2:$L$34,0)),"не проходит")</f>
        <v>46426</v>
      </c>
    </row>
    <row r="13" customFormat="false" ht="15" hidden="false" customHeight="false" outlineLevel="0" collapsed="false">
      <c r="A13" s="12" t="s">
        <v>60</v>
      </c>
      <c r="B13" s="12" t="s">
        <v>121</v>
      </c>
      <c r="C13" s="14" t="n">
        <f aca="false">IFERROR(INDEX('По неделям'!$D$2:$D$34,MATCH("К12",'По неделям'!$F$2:$F$34,0)),"не проходит")</f>
        <v>46435</v>
      </c>
      <c r="D13" s="14" t="n">
        <f aca="false">IFERROR(INDEX('По неделям'!$G$2:$G$34,MATCH("К12",'По неделям'!$I$2:$I$34,0)),"не проходит")</f>
        <v>46437</v>
      </c>
      <c r="E13" s="14" t="n">
        <f aca="false">IFERROR(INDEX('По неделям'!$J$2:$J$34,MATCH("К12",'По неделям'!$L$2:$L$34,0)),"не проходит")</f>
        <v>46433</v>
      </c>
    </row>
    <row r="14" customFormat="false" ht="15" hidden="false" customHeight="false" outlineLevel="0" collapsed="false">
      <c r="A14" s="12" t="s">
        <v>63</v>
      </c>
      <c r="B14" s="12" t="s">
        <v>122</v>
      </c>
      <c r="C14" s="14" t="n">
        <f aca="false">IFERROR(INDEX('По неделям'!$D$2:$D$34,MATCH("К13",'По неделям'!$F$2:$F$34,0)),"не проходит")</f>
        <v>46442</v>
      </c>
      <c r="D14" s="14" t="n">
        <f aca="false">IFERROR(INDEX('По неделям'!$G$2:$G$34,MATCH("К13",'По неделям'!$I$2:$I$34,0)),"не проходит")</f>
        <v>46444</v>
      </c>
      <c r="E14" s="14" t="n">
        <f aca="false">IFERROR(INDEX('По неделям'!$J$2:$J$34,MATCH("К13",'По неделям'!$L$2:$L$34,0)),"не проходит")</f>
        <v>46447</v>
      </c>
    </row>
    <row r="15" customFormat="false" ht="15" hidden="false" customHeight="false" outlineLevel="0" collapsed="false">
      <c r="A15" s="12" t="s">
        <v>67</v>
      </c>
      <c r="B15" s="12" t="s">
        <v>123</v>
      </c>
      <c r="C15" s="14" t="n">
        <f aca="false">IFERROR(INDEX('По неделям'!$D$2:$D$34,MATCH("К14",'По неделям'!$F$2:$F$34,0)),"не проходит")</f>
        <v>46456</v>
      </c>
      <c r="D15" s="14" t="n">
        <f aca="false">IFERROR(INDEX('По неделям'!$G$2:$G$34,MATCH("К14",'По неделям'!$I$2:$I$34,0)),"не проходит")</f>
        <v>46458</v>
      </c>
      <c r="E15" s="14" t="n">
        <f aca="false">IFERROR(INDEX('По неделям'!$J$2:$J$34,MATCH("К14",'По неделям'!$L$2:$L$34,0)),"не проходит")</f>
        <v>46461</v>
      </c>
    </row>
    <row r="16" customFormat="false" ht="15" hidden="false" customHeight="false" outlineLevel="0" collapsed="false">
      <c r="A16" s="12" t="s">
        <v>70</v>
      </c>
      <c r="B16" s="12" t="s">
        <v>124</v>
      </c>
      <c r="C16" s="14" t="n">
        <f aca="false">IFERROR(INDEX('По неделям'!$D$2:$D$34,MATCH("К15",'По неделям'!$F$2:$F$34,0)),"не проходит")</f>
        <v>46463</v>
      </c>
      <c r="D16" s="14" t="n">
        <f aca="false">IFERROR(INDEX('По неделям'!$G$2:$G$34,MATCH("К15",'По неделям'!$I$2:$I$34,0)),"не проходит")</f>
        <v>46465</v>
      </c>
      <c r="E16" s="14" t="n">
        <f aca="false">IFERROR(INDEX('По неделям'!$J$2:$J$34,MATCH("К15",'По неделям'!$L$2:$L$34,0)),"не проходит")</f>
        <v>46468</v>
      </c>
    </row>
    <row r="17" customFormat="false" ht="15" hidden="false" customHeight="false" outlineLevel="0" collapsed="false">
      <c r="A17" s="12" t="s">
        <v>73</v>
      </c>
      <c r="B17" s="12" t="s">
        <v>125</v>
      </c>
      <c r="C17" s="14" t="n">
        <f aca="false">IFERROR(INDEX('По неделям'!$D$2:$D$34,MATCH("К16",'По неделям'!$F$2:$F$34,0)),"не проходит")</f>
        <v>46470</v>
      </c>
      <c r="D17" s="14" t="n">
        <f aca="false">IFERROR(INDEX('По неделям'!$G$2:$G$34,MATCH("К16",'По неделям'!$I$2:$I$34,0)),"не проходит")</f>
        <v>46472</v>
      </c>
      <c r="E17" s="14" t="n">
        <f aca="false">IFERROR(INDEX('По неделям'!$J$2:$J$34,MATCH("К16",'По неделям'!$L$2:$L$34,0)),"не проходит")</f>
        <v>46475</v>
      </c>
    </row>
    <row r="18" customFormat="false" ht="15" hidden="false" customHeight="false" outlineLevel="0" collapsed="false">
      <c r="A18" s="12" t="s">
        <v>76</v>
      </c>
      <c r="B18" s="12" t="s">
        <v>126</v>
      </c>
      <c r="C18" s="14" t="n">
        <f aca="false">IFERROR(INDEX('По неделям'!$D$2:$D$34,MATCH("К17",'По неделям'!$F$2:$F$34,0)),"не проходит")</f>
        <v>46477</v>
      </c>
      <c r="D18" s="14" t="n">
        <f aca="false">IFERROR(INDEX('По неделям'!$G$2:$G$34,MATCH("К17",'По неделям'!$I$2:$I$34,0)),"не проходит")</f>
        <v>46479</v>
      </c>
      <c r="E18" s="14" t="n">
        <f aca="false">IFERROR(INDEX('По неделям'!$J$2:$J$34,MATCH("К17",'По неделям'!$L$2:$L$34,0)),"не проходит")</f>
        <v>46489</v>
      </c>
    </row>
    <row r="19" customFormat="false" ht="15" hidden="false" customHeight="false" outlineLevel="0" collapsed="false">
      <c r="A19" s="12" t="s">
        <v>79</v>
      </c>
      <c r="B19" s="12" t="s">
        <v>127</v>
      </c>
      <c r="C19" s="14" t="n">
        <f aca="false">IFERROR(INDEX('По неделям'!$D$2:$D$34,MATCH("К18",'По неделям'!$F$2:$F$34,0)),"не проходит")</f>
        <v>46484</v>
      </c>
      <c r="D19" s="14" t="n">
        <f aca="false">IFERROR(INDEX('По неделям'!$G$2:$G$34,MATCH("К18",'По неделям'!$I$2:$I$34,0)),"не проходит")</f>
        <v>46486</v>
      </c>
      <c r="E19" s="14" t="n">
        <f aca="false">IFERROR(INDEX('По неделям'!$J$2:$J$34,MATCH("К18",'По неделям'!$L$2:$L$34,0)),"не проходит")</f>
        <v>46496</v>
      </c>
    </row>
    <row r="20" customFormat="false" ht="15" hidden="false" customHeight="false" outlineLevel="0" collapsed="false">
      <c r="A20" s="12" t="s">
        <v>86</v>
      </c>
      <c r="B20" s="12" t="s">
        <v>128</v>
      </c>
      <c r="C20" s="14" t="n">
        <f aca="false">IFERROR(INDEX('По неделям'!$D$2:$D$34,MATCH("К19",'По неделям'!$F$2:$F$34,0)),"не проходит")</f>
        <v>46512</v>
      </c>
      <c r="D20" s="14" t="n">
        <f aca="false">IFERROR(INDEX('По неделям'!$G$2:$G$34,MATCH("К19",'По неделям'!$I$2:$I$34,0)),"не проходит")</f>
        <v>46514</v>
      </c>
      <c r="E20" s="14" t="n">
        <f aca="false">IFERROR(INDEX('По неделям'!$J$2:$J$34,MATCH("К19",'По неделям'!$L$2:$L$34,0)),"не проходит")</f>
        <v>46503</v>
      </c>
    </row>
    <row r="21" customFormat="false" ht="15" hidden="false" customHeight="false" outlineLevel="0" collapsed="false">
      <c r="A21" s="12" t="s">
        <v>91</v>
      </c>
      <c r="B21" s="12" t="s">
        <v>129</v>
      </c>
      <c r="C21" s="14" t="n">
        <f aca="false">IFERROR(INDEX('По неделям'!$D$2:$D$34,MATCH("К20",'По неделям'!$F$2:$F$34,0)),"не проходит")</f>
        <v>46519</v>
      </c>
      <c r="D21" s="14" t="n">
        <f aca="false">IFERROR(INDEX('По неделям'!$G$2:$G$34,MATCH("К20",'По неделям'!$I$2:$I$34,0)),"не проходит")</f>
        <v>46521</v>
      </c>
      <c r="E21" s="14" t="n">
        <f aca="false">IFERROR(INDEX('По неделям'!$J$2:$J$34,MATCH("К20",'По неделям'!$L$2:$L$34,0)),"не проходит")</f>
        <v>46524</v>
      </c>
    </row>
    <row r="23" customFormat="false" ht="15" hidden="false" customHeight="false" outlineLevel="0" collapsed="false">
      <c r="B23" s="11" t="s">
        <v>130</v>
      </c>
      <c r="C23" s="11" t="n">
        <f aca="false">COUNTIF('По неделям'!F2:F34,"&lt;&gt;—")</f>
        <v>28</v>
      </c>
      <c r="D23" s="11" t="n">
        <f aca="false">COUNTIF('По неделям'!I2:I34,"&lt;&gt;—")</f>
        <v>23</v>
      </c>
      <c r="E23" s="11" t="n">
        <f aca="false">COUNTIF('По неделям'!L2:L34,"&lt;&gt;—")</f>
        <v>26</v>
      </c>
    </row>
    <row r="24" customFormat="false" ht="15" hidden="false" customHeight="false" outlineLevel="0" collapsed="false">
      <c r="B24" s="11" t="s">
        <v>131</v>
      </c>
      <c r="C24" s="11" t="n">
        <f aca="false">COUNTIF('По неделям'!F2:F34,"К*")</f>
        <v>20</v>
      </c>
      <c r="D24" s="11" t="n">
        <f aca="false">COUNTIF('По неделям'!I2:I34,"К*")</f>
        <v>19</v>
      </c>
      <c r="E24" s="11" t="n">
        <f aca="false">COUNTIF('По неделям'!L2:L34,"К*")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2026-10-18T10:03:44Z</dcterms:created>
  <dc:creator>openpyxl</dc:creator>
  <dc:description/>
  <dc:language>en-US</dc:language>
  <cp:lastModifiedBy/>
  <dcterms:modified xsi:type="dcterms:W3CDTF">2026-10-18T10:03:44Z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